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EYARH\Documents\"/>
    </mc:Choice>
  </mc:AlternateContent>
  <xr:revisionPtr revIDLastSave="0" documentId="8_{7488F651-D8C6-4C83-879F-6E0BF93B8FCF}" xr6:coauthVersionLast="47" xr6:coauthVersionMax="47" xr10:uidLastSave="{00000000-0000-0000-0000-000000000000}"/>
  <bookViews>
    <workbookView xWindow="-110" yWindow="-110" windowWidth="19420" windowHeight="10300" xr2:uid="{E8D143E1-0CEE-471D-B5DB-9DDDA5527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M18" i="1"/>
  <c r="M17" i="1"/>
  <c r="N16" i="1"/>
  <c r="M16" i="1"/>
  <c r="K18" i="1"/>
  <c r="J18" i="1"/>
  <c r="K17" i="1"/>
  <c r="J17" i="1"/>
  <c r="K16" i="1"/>
  <c r="J16" i="1"/>
  <c r="N5" i="1"/>
  <c r="N6" i="1"/>
  <c r="N7" i="1"/>
  <c r="N8" i="1"/>
  <c r="N9" i="1"/>
  <c r="N10" i="1"/>
  <c r="N11" i="1"/>
  <c r="N12" i="1"/>
  <c r="N13" i="1"/>
  <c r="N4" i="1"/>
  <c r="H4" i="1"/>
  <c r="M5" i="1"/>
  <c r="M6" i="1"/>
  <c r="M7" i="1"/>
  <c r="M8" i="1"/>
  <c r="M9" i="1"/>
  <c r="M10" i="1"/>
  <c r="M11" i="1"/>
  <c r="M12" i="1"/>
  <c r="M13" i="1"/>
  <c r="M4" i="1"/>
  <c r="G4" i="1"/>
  <c r="L5" i="1"/>
  <c r="L6" i="1"/>
  <c r="L7" i="1"/>
  <c r="L8" i="1"/>
  <c r="L9" i="1"/>
  <c r="L10" i="1"/>
  <c r="L11" i="1"/>
  <c r="L12" i="1"/>
  <c r="L13" i="1"/>
  <c r="L4" i="1"/>
  <c r="F4" i="1"/>
  <c r="K13" i="1"/>
  <c r="K5" i="1"/>
  <c r="K6" i="1"/>
  <c r="K7" i="1"/>
  <c r="K8" i="1"/>
  <c r="K9" i="1"/>
  <c r="K10" i="1"/>
  <c r="K11" i="1"/>
  <c r="K12" i="1"/>
  <c r="K4" i="1"/>
  <c r="E4" i="1"/>
  <c r="H5" i="1"/>
  <c r="H6" i="1"/>
  <c r="H7" i="1"/>
  <c r="H8" i="1"/>
  <c r="H9" i="1"/>
  <c r="H10" i="1"/>
  <c r="H11" i="1"/>
  <c r="H12" i="1"/>
  <c r="H13" i="1"/>
  <c r="G5" i="1"/>
  <c r="G6" i="1"/>
  <c r="G7" i="1"/>
  <c r="G8" i="1"/>
  <c r="G9" i="1"/>
  <c r="G10" i="1"/>
  <c r="G11" i="1"/>
  <c r="G12" i="1"/>
  <c r="G13" i="1"/>
  <c r="G19" i="1"/>
  <c r="F5" i="1"/>
  <c r="F6" i="1"/>
  <c r="F7" i="1"/>
  <c r="F8" i="1"/>
  <c r="F9" i="1"/>
  <c r="F10" i="1"/>
  <c r="F11" i="1"/>
  <c r="F12" i="1"/>
  <c r="F13" i="1"/>
  <c r="E19" i="1"/>
  <c r="D19" i="1"/>
  <c r="E18" i="1"/>
  <c r="E17" i="1"/>
  <c r="D18" i="1"/>
  <c r="E16" i="1"/>
  <c r="D17" i="1"/>
  <c r="D16" i="1"/>
  <c r="C18" i="1"/>
  <c r="C17" i="1"/>
  <c r="C16" i="1"/>
  <c r="E5" i="1"/>
  <c r="E6" i="1"/>
  <c r="E7" i="1"/>
  <c r="E8" i="1"/>
  <c r="E9" i="1"/>
  <c r="E10" i="1"/>
  <c r="E11" i="1"/>
  <c r="E12" i="1"/>
  <c r="E13" i="1"/>
  <c r="G16" i="1" l="1"/>
  <c r="G18" i="1"/>
  <c r="G17" i="1"/>
  <c r="H19" i="1" l="1"/>
  <c r="H17" i="1"/>
  <c r="H16" i="1"/>
  <c r="H18" i="1"/>
</calcChain>
</file>

<file path=xl/sharedStrings.xml><?xml version="1.0" encoding="utf-8"?>
<sst xmlns="http://schemas.openxmlformats.org/spreadsheetml/2006/main" count="38" uniqueCount="36">
  <si>
    <t>Employee payroll</t>
  </si>
  <si>
    <t>Last name</t>
  </si>
  <si>
    <t>First name</t>
  </si>
  <si>
    <t>Hourly wage</t>
  </si>
  <si>
    <t xml:space="preserve">Hours worked </t>
  </si>
  <si>
    <t>Pay</t>
  </si>
  <si>
    <t>Aliyah</t>
  </si>
  <si>
    <t>Eniola</t>
  </si>
  <si>
    <t>Olakunle</t>
  </si>
  <si>
    <t>Folashade</t>
  </si>
  <si>
    <t>Adebayo</t>
  </si>
  <si>
    <t>Joy</t>
  </si>
  <si>
    <t>Mary</t>
  </si>
  <si>
    <t>Opeyemi</t>
  </si>
  <si>
    <t>Treasure</t>
  </si>
  <si>
    <t>GST</t>
  </si>
  <si>
    <t>Himran</t>
  </si>
  <si>
    <t>Hikmah</t>
  </si>
  <si>
    <t>AAA</t>
  </si>
  <si>
    <t>DAYOYEMI</t>
  </si>
  <si>
    <t>Tolani</t>
  </si>
  <si>
    <t>Alli</t>
  </si>
  <si>
    <t>Muizz</t>
  </si>
  <si>
    <t>Khalid</t>
  </si>
  <si>
    <t>Adebunkunola</t>
  </si>
  <si>
    <t>Gentle</t>
  </si>
  <si>
    <t>Max</t>
  </si>
  <si>
    <t>Min</t>
  </si>
  <si>
    <t>Average</t>
  </si>
  <si>
    <t>Total</t>
  </si>
  <si>
    <t>Overtime hours</t>
  </si>
  <si>
    <t>Overtime Bonus</t>
  </si>
  <si>
    <t>Total Pay</t>
  </si>
  <si>
    <t>Hours Worked</t>
  </si>
  <si>
    <t>Overtime bonus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</si>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</sst>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&quot;₦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CC34-FBD1-4082-852E-7E5C19FFAE17}">
  <dimension ref="A1:N19"/>
  <sheetViews>
    <sheetView tabSelected="1" topLeftCell="F1" workbookViewId="0">
      <selection activeCell="P17" sqref="P17"/>
    </sheetView>
  </sheetViews>
  <sheetFormatPr defaultRowHeight="14.5" x14ac:dyDescent="0.35"/>
  <cols>
    <col min="1" max="1" width="15.08984375" customWidth="1"/>
    <col min="2" max="2" width="14.7265625" customWidth="1"/>
    <col min="3" max="3" width="12.7265625" customWidth="1"/>
    <col min="4" max="4" width="13.6328125" customWidth="1"/>
    <col min="5" max="5" width="11.7265625" customWidth="1"/>
    <col min="6" max="6" width="20.08984375" customWidth="1"/>
    <col min="7" max="7" width="14.54296875" customWidth="1"/>
    <col min="8" max="8" width="11.36328125" bestFit="1" customWidth="1"/>
    <col min="10" max="10" width="16.453125" customWidth="1"/>
    <col min="11" max="11" width="10.36328125" bestFit="1" customWidth="1"/>
    <col min="12" max="12" width="15.08984375" customWidth="1"/>
    <col min="13" max="13" width="14" customWidth="1"/>
    <col min="14" max="14" width="13.6328125" customWidth="1"/>
  </cols>
  <sheetData>
    <row r="1" spans="1:14" x14ac:dyDescent="0.35">
      <c r="A1" t="s">
        <v>0</v>
      </c>
    </row>
    <row r="2" spans="1:14" x14ac:dyDescent="0.35">
      <c r="D2" t="s">
        <v>4</v>
      </c>
      <c r="E2" t="s">
        <v>5</v>
      </c>
      <c r="F2" t="s">
        <v>30</v>
      </c>
      <c r="G2" t="s">
        <v>31</v>
      </c>
      <c r="H2" t="s">
        <v>32</v>
      </c>
      <c r="J2" t="s">
        <v>33</v>
      </c>
      <c r="K2" t="s">
        <v>5</v>
      </c>
      <c r="L2" t="s">
        <v>30</v>
      </c>
      <c r="M2" t="s">
        <v>34</v>
      </c>
      <c r="N2" t="s">
        <v>35</v>
      </c>
    </row>
    <row r="3" spans="1:14" x14ac:dyDescent="0.35">
      <c r="A3" t="s">
        <v>1</v>
      </c>
      <c r="B3" t="s">
        <v>2</v>
      </c>
      <c r="C3" t="s">
        <v>3</v>
      </c>
      <c r="D3" s="1">
        <v>36892</v>
      </c>
      <c r="E3" s="4"/>
      <c r="F3" s="4"/>
      <c r="J3" s="1">
        <v>39448</v>
      </c>
    </row>
    <row r="4" spans="1:14" x14ac:dyDescent="0.35">
      <c r="A4" t="s">
        <v>6</v>
      </c>
      <c r="B4" t="s">
        <v>7</v>
      </c>
      <c r="C4" s="3">
        <v>50</v>
      </c>
      <c r="D4">
        <v>40</v>
      </c>
      <c r="E4" s="4">
        <f>C4*D4</f>
        <v>2000</v>
      </c>
      <c r="F4" s="5">
        <f>IF(D4&gt;40,D4-40,0)</f>
        <v>0</v>
      </c>
      <c r="G4" s="4">
        <f>0.5*C4*F4</f>
        <v>0</v>
      </c>
      <c r="H4" s="4">
        <f>E4+G4</f>
        <v>2000</v>
      </c>
      <c r="J4">
        <v>28</v>
      </c>
      <c r="K4" s="2">
        <f>C4*J4</f>
        <v>1400</v>
      </c>
      <c r="L4">
        <f>IF(J4&gt;30,J4-30,0)</f>
        <v>0</v>
      </c>
      <c r="M4" s="4">
        <f>0.5*C4*L4</f>
        <v>0</v>
      </c>
      <c r="N4" s="2">
        <f>K4+M4</f>
        <v>1400</v>
      </c>
    </row>
    <row r="5" spans="1:14" x14ac:dyDescent="0.35">
      <c r="A5" t="s">
        <v>8</v>
      </c>
      <c r="B5" t="s">
        <v>9</v>
      </c>
      <c r="C5" s="3">
        <v>70</v>
      </c>
      <c r="D5">
        <v>32</v>
      </c>
      <c r="E5" s="4">
        <f t="shared" ref="E5:F13" si="0">C5*D5</f>
        <v>2240</v>
      </c>
      <c r="F5" s="5">
        <f t="shared" ref="F5:F13" si="1">IF(D5&gt;40,D5-40,0)</f>
        <v>0</v>
      </c>
      <c r="G5" s="4">
        <f t="shared" ref="G5:G13" si="2">0.5*C5*F5</f>
        <v>0</v>
      </c>
      <c r="H5" s="4">
        <f t="shared" ref="H5:H13" si="3">E5+G5</f>
        <v>2240</v>
      </c>
      <c r="J5">
        <v>40</v>
      </c>
      <c r="K5" s="2">
        <f t="shared" ref="K5:K12" si="4">C5*J5</f>
        <v>2800</v>
      </c>
      <c r="L5">
        <f t="shared" ref="L5:L13" si="5">IF(J5&gt;30,J5-30,0)</f>
        <v>10</v>
      </c>
      <c r="M5" s="4">
        <f t="shared" ref="M5:M14" si="6">0.5*C5*L5</f>
        <v>350</v>
      </c>
      <c r="N5" s="2">
        <f t="shared" ref="N5:N13" si="7">K5+M5</f>
        <v>3150</v>
      </c>
    </row>
    <row r="6" spans="1:14" x14ac:dyDescent="0.35">
      <c r="A6" t="s">
        <v>10</v>
      </c>
      <c r="B6" t="s">
        <v>11</v>
      </c>
      <c r="C6" s="3">
        <v>55</v>
      </c>
      <c r="D6">
        <v>53</v>
      </c>
      <c r="E6" s="4">
        <f t="shared" si="0"/>
        <v>2915</v>
      </c>
      <c r="F6" s="5">
        <f t="shared" si="1"/>
        <v>13</v>
      </c>
      <c r="G6" s="4">
        <f t="shared" si="2"/>
        <v>357.5</v>
      </c>
      <c r="H6" s="4">
        <f t="shared" si="3"/>
        <v>3272.5</v>
      </c>
      <c r="J6">
        <v>53</v>
      </c>
      <c r="K6" s="2">
        <f t="shared" si="4"/>
        <v>2915</v>
      </c>
      <c r="L6">
        <f t="shared" si="5"/>
        <v>23</v>
      </c>
      <c r="M6" s="4">
        <f t="shared" si="6"/>
        <v>632.5</v>
      </c>
      <c r="N6" s="2">
        <f t="shared" si="7"/>
        <v>3547.5</v>
      </c>
    </row>
    <row r="7" spans="1:14" x14ac:dyDescent="0.35">
      <c r="A7" t="s">
        <v>12</v>
      </c>
      <c r="B7" t="s">
        <v>13</v>
      </c>
      <c r="C7" s="3">
        <v>40</v>
      </c>
      <c r="D7">
        <v>40</v>
      </c>
      <c r="E7" s="4">
        <f t="shared" si="0"/>
        <v>1600</v>
      </c>
      <c r="F7" s="5">
        <f t="shared" si="1"/>
        <v>0</v>
      </c>
      <c r="G7" s="4">
        <f t="shared" si="2"/>
        <v>0</v>
      </c>
      <c r="H7" s="4">
        <f t="shared" si="3"/>
        <v>1600</v>
      </c>
      <c r="J7">
        <v>45</v>
      </c>
      <c r="K7" s="2">
        <f t="shared" si="4"/>
        <v>1800</v>
      </c>
      <c r="L7">
        <f t="shared" si="5"/>
        <v>15</v>
      </c>
      <c r="M7" s="4">
        <f t="shared" si="6"/>
        <v>300</v>
      </c>
      <c r="N7" s="2">
        <f t="shared" si="7"/>
        <v>2100</v>
      </c>
    </row>
    <row r="8" spans="1:14" x14ac:dyDescent="0.35">
      <c r="A8" t="s">
        <v>14</v>
      </c>
      <c r="B8" t="s">
        <v>15</v>
      </c>
      <c r="C8" s="3">
        <v>34</v>
      </c>
      <c r="D8">
        <v>50</v>
      </c>
      <c r="E8" s="4">
        <f t="shared" si="0"/>
        <v>1700</v>
      </c>
      <c r="F8" s="5">
        <f t="shared" si="1"/>
        <v>10</v>
      </c>
      <c r="G8" s="4">
        <f t="shared" si="2"/>
        <v>170</v>
      </c>
      <c r="H8" s="4">
        <f t="shared" si="3"/>
        <v>1870</v>
      </c>
      <c r="J8">
        <v>60</v>
      </c>
      <c r="K8" s="2">
        <f t="shared" si="4"/>
        <v>2040</v>
      </c>
      <c r="L8">
        <f t="shared" si="5"/>
        <v>30</v>
      </c>
      <c r="M8" s="4">
        <f t="shared" si="6"/>
        <v>510</v>
      </c>
      <c r="N8" s="2">
        <f t="shared" si="7"/>
        <v>2550</v>
      </c>
    </row>
    <row r="9" spans="1:14" x14ac:dyDescent="0.35">
      <c r="A9" t="s">
        <v>16</v>
      </c>
      <c r="B9" t="s">
        <v>17</v>
      </c>
      <c r="C9" s="3">
        <v>67</v>
      </c>
      <c r="D9">
        <v>22</v>
      </c>
      <c r="E9" s="4">
        <f t="shared" si="0"/>
        <v>1474</v>
      </c>
      <c r="F9" s="5">
        <f t="shared" si="1"/>
        <v>0</v>
      </c>
      <c r="G9" s="4">
        <f t="shared" si="2"/>
        <v>0</v>
      </c>
      <c r="H9" s="4">
        <f t="shared" si="3"/>
        <v>1474</v>
      </c>
      <c r="J9">
        <v>31</v>
      </c>
      <c r="K9" s="2">
        <f t="shared" si="4"/>
        <v>2077</v>
      </c>
      <c r="L9">
        <f t="shared" si="5"/>
        <v>1</v>
      </c>
      <c r="M9" s="4">
        <f t="shared" si="6"/>
        <v>33.5</v>
      </c>
      <c r="N9" s="2">
        <f t="shared" si="7"/>
        <v>2110.5</v>
      </c>
    </row>
    <row r="10" spans="1:14" x14ac:dyDescent="0.35">
      <c r="A10" t="s">
        <v>18</v>
      </c>
      <c r="B10" t="s">
        <v>19</v>
      </c>
      <c r="C10" s="3">
        <v>74</v>
      </c>
      <c r="D10">
        <v>34</v>
      </c>
      <c r="E10" s="4">
        <f t="shared" si="0"/>
        <v>2516</v>
      </c>
      <c r="F10" s="5">
        <f t="shared" si="1"/>
        <v>0</v>
      </c>
      <c r="G10" s="4">
        <f t="shared" si="2"/>
        <v>0</v>
      </c>
      <c r="H10" s="4">
        <f t="shared" si="3"/>
        <v>2516</v>
      </c>
      <c r="J10">
        <v>64</v>
      </c>
      <c r="K10" s="2">
        <f t="shared" si="4"/>
        <v>4736</v>
      </c>
      <c r="L10">
        <f t="shared" si="5"/>
        <v>34</v>
      </c>
      <c r="M10" s="4">
        <f t="shared" si="6"/>
        <v>1258</v>
      </c>
      <c r="N10" s="2">
        <f t="shared" si="7"/>
        <v>5994</v>
      </c>
    </row>
    <row r="11" spans="1:14" x14ac:dyDescent="0.35">
      <c r="A11" t="s">
        <v>20</v>
      </c>
      <c r="B11" t="s">
        <v>21</v>
      </c>
      <c r="C11" s="3">
        <v>80</v>
      </c>
      <c r="D11">
        <v>43</v>
      </c>
      <c r="E11" s="4">
        <f t="shared" si="0"/>
        <v>3440</v>
      </c>
      <c r="F11" s="5">
        <f t="shared" si="1"/>
        <v>3</v>
      </c>
      <c r="G11" s="4">
        <f t="shared" si="2"/>
        <v>120</v>
      </c>
      <c r="H11" s="4">
        <f t="shared" si="3"/>
        <v>3560</v>
      </c>
      <c r="J11">
        <v>49</v>
      </c>
      <c r="K11" s="2">
        <f t="shared" si="4"/>
        <v>3920</v>
      </c>
      <c r="L11">
        <f t="shared" si="5"/>
        <v>19</v>
      </c>
      <c r="M11" s="4">
        <f t="shared" si="6"/>
        <v>760</v>
      </c>
      <c r="N11" s="2">
        <f t="shared" si="7"/>
        <v>4680</v>
      </c>
    </row>
    <row r="12" spans="1:14" x14ac:dyDescent="0.35">
      <c r="A12" t="s">
        <v>22</v>
      </c>
      <c r="B12" t="s">
        <v>23</v>
      </c>
      <c r="C12" s="3">
        <v>63</v>
      </c>
      <c r="D12">
        <v>27</v>
      </c>
      <c r="E12" s="4">
        <f t="shared" si="0"/>
        <v>1701</v>
      </c>
      <c r="F12" s="5">
        <f t="shared" si="1"/>
        <v>0</v>
      </c>
      <c r="G12" s="4">
        <f t="shared" si="2"/>
        <v>0</v>
      </c>
      <c r="H12" s="4">
        <f t="shared" si="3"/>
        <v>1701</v>
      </c>
      <c r="J12">
        <v>50</v>
      </c>
      <c r="K12" s="2">
        <f t="shared" si="4"/>
        <v>3150</v>
      </c>
      <c r="L12">
        <f t="shared" si="5"/>
        <v>20</v>
      </c>
      <c r="M12" s="4">
        <f t="shared" si="6"/>
        <v>630</v>
      </c>
      <c r="N12" s="2">
        <f t="shared" si="7"/>
        <v>3780</v>
      </c>
    </row>
    <row r="13" spans="1:14" x14ac:dyDescent="0.35">
      <c r="A13" t="s">
        <v>24</v>
      </c>
      <c r="B13" t="s">
        <v>25</v>
      </c>
      <c r="C13" s="3">
        <v>65</v>
      </c>
      <c r="D13">
        <v>19</v>
      </c>
      <c r="E13" s="4">
        <f t="shared" si="0"/>
        <v>1235</v>
      </c>
      <c r="F13" s="5">
        <f t="shared" si="1"/>
        <v>0</v>
      </c>
      <c r="G13" s="4">
        <f t="shared" si="2"/>
        <v>0</v>
      </c>
      <c r="H13" s="4">
        <f t="shared" si="3"/>
        <v>1235</v>
      </c>
      <c r="J13">
        <v>20</v>
      </c>
      <c r="K13" s="4">
        <f>C13*J13</f>
        <v>1300</v>
      </c>
      <c r="L13">
        <f t="shared" si="5"/>
        <v>0</v>
      </c>
      <c r="M13" s="4">
        <f t="shared" si="6"/>
        <v>0</v>
      </c>
      <c r="N13" s="2">
        <f t="shared" si="7"/>
        <v>1300</v>
      </c>
    </row>
    <row r="14" spans="1:14" x14ac:dyDescent="0.35">
      <c r="C14" s="3"/>
      <c r="M14" s="4"/>
    </row>
    <row r="15" spans="1:14" x14ac:dyDescent="0.35">
      <c r="C15" s="3"/>
    </row>
    <row r="16" spans="1:14" x14ac:dyDescent="0.35">
      <c r="A16" t="s">
        <v>26</v>
      </c>
      <c r="C16" s="4">
        <f>MAX(C4:C13)</f>
        <v>80</v>
      </c>
      <c r="D16">
        <f>MAX(D4:D13)</f>
        <v>53</v>
      </c>
      <c r="E16" s="3">
        <f>MAX(E4:E13)</f>
        <v>3440</v>
      </c>
      <c r="F16" s="3"/>
      <c r="G16" s="4">
        <f>MAX(G4:G13)</f>
        <v>357.5</v>
      </c>
      <c r="H16" s="4">
        <f>MAX(H4:H13)</f>
        <v>3560</v>
      </c>
      <c r="J16">
        <f>MAX(J4:J13)</f>
        <v>64</v>
      </c>
      <c r="K16">
        <f>MAX(K4:K13)</f>
        <v>4736</v>
      </c>
      <c r="M16" s="4">
        <f>MAX(M4:M13)</f>
        <v>1258</v>
      </c>
      <c r="N16" s="4">
        <f>MAX(N4:N13)</f>
        <v>5994</v>
      </c>
    </row>
    <row r="17" spans="1:14" x14ac:dyDescent="0.35">
      <c r="A17" t="s">
        <v>27</v>
      </c>
      <c r="C17" s="4">
        <f>MIN(C4:C13)</f>
        <v>34</v>
      </c>
      <c r="D17">
        <f>MIN(D4:D13)</f>
        <v>19</v>
      </c>
      <c r="E17" s="3">
        <f>MIN(E4:E13)</f>
        <v>1235</v>
      </c>
      <c r="F17" s="3"/>
      <c r="G17" s="4">
        <f>MIN(G4:G13)</f>
        <v>0</v>
      </c>
      <c r="H17" s="4">
        <f>MIN(H4:H13)</f>
        <v>1235</v>
      </c>
      <c r="J17">
        <f>MIN(J4:J13)</f>
        <v>20</v>
      </c>
      <c r="K17">
        <f>MIN(K4:K13)</f>
        <v>1300</v>
      </c>
      <c r="M17" s="4">
        <f>MIN(M4:M13)</f>
        <v>0</v>
      </c>
      <c r="N17" s="4">
        <f>MIN(N4:N13)</f>
        <v>1300</v>
      </c>
    </row>
    <row r="18" spans="1:14" x14ac:dyDescent="0.35">
      <c r="A18" t="s">
        <v>28</v>
      </c>
      <c r="C18" s="3">
        <f>AVERAGE(C3:C13)</f>
        <v>59.8</v>
      </c>
      <c r="D18">
        <f>AVERAGE(D4:D13)</f>
        <v>36</v>
      </c>
      <c r="E18" s="4">
        <f>AVERAGE(E4:E13)</f>
        <v>2082.1</v>
      </c>
      <c r="F18" s="4"/>
      <c r="G18" s="4">
        <f>AVERAGE(G4:G13)</f>
        <v>64.75</v>
      </c>
      <c r="H18" s="4">
        <f>AVERAGE(H4:H13)</f>
        <v>2146.85</v>
      </c>
      <c r="J18">
        <f>AVERAGE(J4:J13)</f>
        <v>44</v>
      </c>
      <c r="K18">
        <f>AVERAGE(K4:K13)</f>
        <v>2613.8000000000002</v>
      </c>
      <c r="M18" s="4">
        <f>AVERAGE(M4:M13)</f>
        <v>447.4</v>
      </c>
      <c r="N18" s="4">
        <f>AVERAGE(N4:N13)</f>
        <v>3061.2</v>
      </c>
    </row>
    <row r="19" spans="1:14" x14ac:dyDescent="0.35">
      <c r="A19" t="s">
        <v>29</v>
      </c>
      <c r="D19">
        <f>SUM(D4:D13)</f>
        <v>360</v>
      </c>
      <c r="E19" s="4">
        <f>SUM(E4:E13)</f>
        <v>20821</v>
      </c>
      <c r="F19" s="4"/>
      <c r="G19" s="4">
        <f>SUM(G4:G13)</f>
        <v>647.5</v>
      </c>
      <c r="H19" s="4">
        <f>SUM(H4:H13)</f>
        <v>21468.5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ALEEYARH</dc:creator>
  <cp:lastModifiedBy>ALEEYARH</cp:lastModifiedBy>
  <dcterms:created xsi:type="dcterms:W3CDTF">2025-10-15T22:00:41Z</dcterms:created>
  <dcterms:modified xsi:type="dcterms:W3CDTF">2025-10-17T13:04:03Z</dcterms:modified>
</cp:coreProperties>
</file>